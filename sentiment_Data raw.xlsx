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ti\data analytics data\"/>
    </mc:Choice>
  </mc:AlternateContent>
  <xr:revisionPtr revIDLastSave="0" documentId="13_ncr:1_{48118F18-827B-4CA5-83B5-CA35BDAD14C4}" xr6:coauthVersionLast="47" xr6:coauthVersionMax="47" xr10:uidLastSave="{00000000-0000-0000-0000-000000000000}"/>
  <bookViews>
    <workbookView xWindow="-108" yWindow="-108" windowWidth="23256" windowHeight="12456" activeTab="1" xr2:uid="{80744109-65E4-44D3-83FF-53CD11ED9DC4}"/>
  </bookViews>
  <sheets>
    <sheet name="Sheet2" sheetId="2" r:id="rId1"/>
    <sheet name="sentiment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<sst xmlns="http://schemas.openxmlformats.org/spreadsheetml/2006/main" count="28" uniqueCount="28">
  <si>
    <t>Review_ID</t>
  </si>
  <si>
    <t>Review_Text</t>
  </si>
  <si>
    <t>This product is very good and useful</t>
  </si>
  <si>
    <t>I am happy with the service</t>
  </si>
  <si>
    <t>The quality is excellent</t>
  </si>
  <si>
    <t>Very bad experience</t>
  </si>
  <si>
    <t>Worst product ever</t>
  </si>
  <si>
    <t>I am not satisfied</t>
  </si>
  <si>
    <t>The product is okay</t>
  </si>
  <si>
    <t>Average quality</t>
  </si>
  <si>
    <t>Nothing special</t>
  </si>
  <si>
    <t>Amazing performance and good quality</t>
  </si>
  <si>
    <t>Poor service and bad support</t>
  </si>
  <si>
    <t>I love this product</t>
  </si>
  <si>
    <t>It is disappointing</t>
  </si>
  <si>
    <t>Not bad but not good</t>
  </si>
  <si>
    <t>Highly recommended</t>
  </si>
  <si>
    <t>Waste of money</t>
  </si>
  <si>
    <t>Very happy and satisfied</t>
  </si>
  <si>
    <t>Terrible experience</t>
  </si>
  <si>
    <t>The product works fine</t>
  </si>
  <si>
    <t>Excellent value for money</t>
  </si>
  <si>
    <t>C1 = Sentiment</t>
  </si>
  <si>
    <t>E (Sentiment)</t>
  </si>
  <si>
    <t>F (Count)</t>
  </si>
  <si>
    <t xml:space="preserve">positive </t>
  </si>
  <si>
    <t>negative</t>
  </si>
  <si>
    <t>neurtal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</si>
</sst>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b/>
      <sz val="11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Sentiment Analysis of Customer</a:t>
            </a:r>
            <a:r>
              <a:rPr lang="en-IN" baseline="0"/>
              <a:t> </a:t>
            </a:r>
            <a:r>
              <a:rPr lang="en-IN"/>
              <a:t>Reviews</a:t>
            </a:r>
          </a:p>
        </c:rich>
      </c:tx>
      <c:layout>
        <c:manualLayout>
          <c:xMode val="edge"/>
          <c:yMode val="edge"/>
          <c:x val="0.1534038392399210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CD5-41D3-97A4-15183FA150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D5-41D3-97A4-15183FA150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D5-41D3-97A4-15183FA150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sentiment_Data!$E$2:$E$4</c:f>
              <c:strCache>
                <c:ptCount val="3"/>
                <c:pt idx="0">
                  <c:v>positive </c:v>
                </c:pt>
                <c:pt idx="1">
                  <c:v>negative</c:v>
                </c:pt>
                <c:pt idx="2">
                  <c:v>neurtal</c:v>
                </c:pt>
              </c:strCache>
            </c:strRef>
          </c:cat>
          <c:val>
            <c:numRef>
              <c:f>sentiment_Data!$F$2:$F$4</c:f>
              <c:numCache>
                <c:formatCode>General</c:formatCode>
                <c:ptCount val="3"/>
                <c:pt idx="0">
                  <c:v>8</c:v>
                </c:pt>
                <c:pt idx="1">
                  <c:v>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5-41D3-97A4-15183FA1507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834080</xdr:colOff>
      <xdr:row>4</xdr:row>
      <xdr:rowOff>288324</xdr:rowOff>
    </xdr:from>
    <xdr:to>
      <xdr:col>6</xdr:col>
      <xdr:colOff>127000</xdr:colOff>
      <xdr:row>14</xdr:row>
      <xdr:rowOff>223451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ADEFD0-8A6E-ED04-A8F2-C885FF630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A467-E3A1-49D2-A859-7784C9C9EB09}">
  <dimension ref="A1"/>
  <sheetViews>
    <sheetView zoomScaleNormal="100" workbookViewId="0">
      <selection activeCell="O6" sqref="O6"/>
    </sheetView>
  </sheetViews>
  <sheetFormatPr defaultRowHeight="24" x14ac:dyDescent="0.8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6D99-DA90-46BA-BC5B-D8ADD684D535}">
  <dimension ref="A1:F21"/>
  <sheetViews>
    <sheetView tabSelected="1" zoomScale="48" workbookViewId="0">
      <selection activeCell="I17" sqref="I17"/>
    </sheetView>
  </sheetViews>
  <sheetFormatPr defaultRowHeight="24" x14ac:dyDescent="0.8"/>
  <cols>
    <col min="1" max="1" width="17.3984375" customWidth="1"/>
    <col min="2" max="2" width="42.09765625" customWidth="1"/>
    <col min="3" max="3" width="23.09765625" customWidth="1"/>
    <col min="4" max="4" width="11.09765625" customWidth="1"/>
    <col min="5" max="5" width="24.59765625" customWidth="1"/>
    <col min="6" max="6" width="20.19921875" customWidth="1"/>
  </cols>
  <sheetData>
    <row r="1" spans="1:6" x14ac:dyDescent="0.8">
      <c r="A1" s="2" t="s">
        <v>0</v>
      </c>
      <c r="B1" s="2" t="s">
        <v>1</v>
      </c>
      <c r="C1" s="3" t="s">
        <v>22</v>
      </c>
      <c r="E1" s="2" t="s">
        <v>23</v>
      </c>
      <c r="F1" s="2" t="s">
        <v>24</v>
      </c>
    </row>
    <row r="2" spans="1:6" x14ac:dyDescent="0.8">
      <c r="A2" s="1">
        <v>1</v>
      </c>
      <c r="B2" s="1" t="s">
        <v>2</v>
      </c>
      <c r="C2" t="str">
        <f>IF(OR(ISNUMBER(SEARCH("good",B2)),ISNUMBER(SEARCH("excellent",B2)),ISNUMBER(SEARCH("happy",B2)),ISNUMBER(SEARCH("amazing",B2)),ISNUMBER(SEARCH("love",B2))),"Positive",IF(OR(ISNUMBER(SEARCH("bad",B2)),ISNUMBER(SEARCH("worst",B2)),ISNUMBER(SEARCH("poor",B2)),ISNUMBER(SEARCH("terrible",B2)),ISNUMBER(SEARCH("disappoint",B2))),"Negative","Neutral"))</f>
        <v>Positive</v>
      </c>
      <c r="E2" t="s">
        <v>25</v>
      </c>
      <c r="F2">
        <f>COUNTIF(C:C,"Positive")</f>
        <v>8</v>
      </c>
    </row>
    <row r="3" spans="1:6" x14ac:dyDescent="0.8">
      <c r="A3" s="1">
        <v>2</v>
      </c>
      <c r="B3" s="1" t="s">
        <v>3</v>
      </c>
      <c r="C3" t="str">
        <f t="shared" ref="C3:C21" si="0">IF(OR(ISNUMBER(SEARCH("good",B3)),ISNUMBER(SEARCH("excellent",B3)),ISNUMBER(SEARCH("happy",B3)),ISNUMBER(SEARCH("amazing",B3)),ISNUMBER(SEARCH("love",B3))),"Positive",IF(OR(ISNUMBER(SEARCH("bad",B3)),ISNUMBER(SEARCH("worst",B3)),ISNUMBER(SEARCH("poor",B3)),ISNUMBER(SEARCH("terrible",B3)),ISNUMBER(SEARCH("disappoint",B3))),"Negative","Neutral"))</f>
        <v>Positive</v>
      </c>
      <c r="E3" t="s">
        <v>26</v>
      </c>
      <c r="F3">
        <f>COUNTIF(C:C,"Negative")</f>
        <v>5</v>
      </c>
    </row>
    <row r="4" spans="1:6" x14ac:dyDescent="0.8">
      <c r="A4" s="1">
        <v>3</v>
      </c>
      <c r="B4" s="1" t="s">
        <v>4</v>
      </c>
      <c r="C4" t="str">
        <f t="shared" si="0"/>
        <v>Positive</v>
      </c>
      <c r="E4" t="s">
        <v>27</v>
      </c>
      <c r="F4">
        <f>COUNTIF(C:C,"Neutral")</f>
        <v>7</v>
      </c>
    </row>
    <row r="5" spans="1:6" x14ac:dyDescent="0.8">
      <c r="A5" s="1">
        <v>4</v>
      </c>
      <c r="B5" s="1" t="s">
        <v>5</v>
      </c>
      <c r="C5" t="str">
        <f t="shared" si="0"/>
        <v>Negative</v>
      </c>
    </row>
    <row r="6" spans="1:6" x14ac:dyDescent="0.8">
      <c r="A6" s="1">
        <v>5</v>
      </c>
      <c r="B6" s="1" t="s">
        <v>6</v>
      </c>
      <c r="C6" t="str">
        <f t="shared" si="0"/>
        <v>Negative</v>
      </c>
    </row>
    <row r="7" spans="1:6" x14ac:dyDescent="0.8">
      <c r="A7" s="1">
        <v>6</v>
      </c>
      <c r="B7" s="1" t="s">
        <v>7</v>
      </c>
      <c r="C7" t="str">
        <f t="shared" si="0"/>
        <v>Neutral</v>
      </c>
    </row>
    <row r="8" spans="1:6" x14ac:dyDescent="0.8">
      <c r="A8" s="1">
        <v>7</v>
      </c>
      <c r="B8" s="1" t="s">
        <v>8</v>
      </c>
      <c r="C8" t="str">
        <f t="shared" si="0"/>
        <v>Neutral</v>
      </c>
    </row>
    <row r="9" spans="1:6" x14ac:dyDescent="0.8">
      <c r="A9" s="1">
        <v>8</v>
      </c>
      <c r="B9" s="1" t="s">
        <v>9</v>
      </c>
      <c r="C9" t="str">
        <f t="shared" si="0"/>
        <v>Neutral</v>
      </c>
    </row>
    <row r="10" spans="1:6" x14ac:dyDescent="0.8">
      <c r="A10" s="1">
        <v>9</v>
      </c>
      <c r="B10" s="1" t="s">
        <v>10</v>
      </c>
      <c r="C10" t="str">
        <f t="shared" si="0"/>
        <v>Neutral</v>
      </c>
    </row>
    <row r="11" spans="1:6" x14ac:dyDescent="0.8">
      <c r="A11" s="1">
        <v>10</v>
      </c>
      <c r="B11" s="1" t="s">
        <v>11</v>
      </c>
      <c r="C11" t="str">
        <f t="shared" si="0"/>
        <v>Positive</v>
      </c>
    </row>
    <row r="12" spans="1:6" x14ac:dyDescent="0.8">
      <c r="A12" s="1">
        <v>11</v>
      </c>
      <c r="B12" s="1" t="s">
        <v>12</v>
      </c>
      <c r="C12" t="str">
        <f t="shared" si="0"/>
        <v>Negative</v>
      </c>
    </row>
    <row r="13" spans="1:6" x14ac:dyDescent="0.8">
      <c r="A13" s="1">
        <v>12</v>
      </c>
      <c r="B13" s="1" t="s">
        <v>13</v>
      </c>
      <c r="C13" t="str">
        <f t="shared" si="0"/>
        <v>Positive</v>
      </c>
    </row>
    <row r="14" spans="1:6" x14ac:dyDescent="0.8">
      <c r="A14" s="1">
        <v>13</v>
      </c>
      <c r="B14" s="1" t="s">
        <v>14</v>
      </c>
      <c r="C14" t="str">
        <f t="shared" si="0"/>
        <v>Negative</v>
      </c>
    </row>
    <row r="15" spans="1:6" x14ac:dyDescent="0.8">
      <c r="A15" s="1">
        <v>14</v>
      </c>
      <c r="B15" s="1" t="s">
        <v>15</v>
      </c>
      <c r="C15" t="str">
        <f t="shared" si="0"/>
        <v>Positive</v>
      </c>
    </row>
    <row r="16" spans="1:6" x14ac:dyDescent="0.8">
      <c r="A16" s="1">
        <v>15</v>
      </c>
      <c r="B16" s="1" t="s">
        <v>16</v>
      </c>
      <c r="C16" t="str">
        <f t="shared" si="0"/>
        <v>Neutral</v>
      </c>
    </row>
    <row r="17" spans="1:3" x14ac:dyDescent="0.8">
      <c r="A17" s="1">
        <v>16</v>
      </c>
      <c r="B17" s="1" t="s">
        <v>17</v>
      </c>
      <c r="C17" t="str">
        <f t="shared" si="0"/>
        <v>Neutral</v>
      </c>
    </row>
    <row r="18" spans="1:3" x14ac:dyDescent="0.8">
      <c r="A18" s="1">
        <v>17</v>
      </c>
      <c r="B18" s="1" t="s">
        <v>18</v>
      </c>
      <c r="C18" t="str">
        <f t="shared" si="0"/>
        <v>Positive</v>
      </c>
    </row>
    <row r="19" spans="1:3" x14ac:dyDescent="0.8">
      <c r="A19" s="1">
        <v>18</v>
      </c>
      <c r="B19" s="1" t="s">
        <v>19</v>
      </c>
      <c r="C19" t="str">
        <f t="shared" si="0"/>
        <v>Negative</v>
      </c>
    </row>
    <row r="20" spans="1:3" x14ac:dyDescent="0.8">
      <c r="A20" s="1">
        <v>19</v>
      </c>
      <c r="B20" s="1" t="s">
        <v>20</v>
      </c>
      <c r="C20" t="str">
        <f t="shared" si="0"/>
        <v>Neutral</v>
      </c>
    </row>
    <row r="21" spans="1:3" x14ac:dyDescent="0.8">
      <c r="A21" s="1">
        <v>20</v>
      </c>
      <c r="B21" s="1" t="s">
        <v>21</v>
      </c>
      <c r="C21" t="str">
        <f t="shared" si="0"/>
        <v>Positive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sentiment_Data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DEVTARASE</dc:creator>
  <cp:lastModifiedBy>PRAMOD DEVTARASE</cp:lastModifiedBy>
  <dcterms:created xsi:type="dcterms:W3CDTF">2025-12-24T17:17:56Z</dcterms:created>
  <dcterms:modified xsi:type="dcterms:W3CDTF">2025-12-24T18:31:47Z</dcterms:modified>
</cp:coreProperties>
</file>